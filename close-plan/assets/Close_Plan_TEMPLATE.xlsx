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alth Score" sheetId="2" state="visible" r:id="rId2"/>
    <sheet xmlns:r="http://schemas.openxmlformats.org/officeDocument/2006/relationships" name="Action Plan" sheetId="3" state="visible" r:id="rId3"/>
    <sheet xmlns:r="http://schemas.openxmlformats.org/officeDocument/2006/relationships" name="Stakeholder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23">
    <font>
      <name val="Calibri"/>
      <family val="2"/>
      <color theme="1"/>
      <sz val="11"/>
      <scheme val="minor"/>
    </font>
    <font>
      <name val="Calibri"/>
      <b val="1"/>
      <color rgb="FF2CB5AD"/>
      <sz val="10"/>
    </font>
    <font>
      <name val="Calibri"/>
      <b val="1"/>
      <color rgb="FF7A8CA0"/>
      <sz val="9"/>
    </font>
    <font>
      <name val="Calibri"/>
      <b val="1"/>
      <color rgb="FF1B2A4A"/>
      <sz val="22"/>
    </font>
    <font>
      <name val="Calibri"/>
      <b val="1"/>
      <color rgb="FF2CB5AD"/>
      <sz val="28"/>
    </font>
    <font>
      <name val="Calibri"/>
      <i val="1"/>
      <color rgb="FF7A8CA0"/>
      <sz val="8"/>
    </font>
    <font>
      <name val="Calibri"/>
      <b val="1"/>
      <color rgb="FF7A8CA0"/>
      <sz val="8"/>
    </font>
    <font>
      <name val="Calibri"/>
      <b val="1"/>
      <color rgb="FF1B2A4A"/>
      <sz val="10"/>
    </font>
    <font>
      <name val="Calibri"/>
      <b val="1"/>
      <color rgb="FF1B2A4A"/>
      <sz val="11"/>
    </font>
    <font>
      <name val="Calibri"/>
      <b val="1"/>
      <color rgb="FFD94F4F"/>
      <sz val="9"/>
    </font>
    <font>
      <name val="Calibri"/>
      <color rgb="FF3D4F6F"/>
      <sz val="10"/>
    </font>
    <font>
      <name val="Calibri"/>
      <b val="1"/>
      <color rgb="FF2CB5AD"/>
      <sz val="11"/>
    </font>
    <font>
      <name val="Calibri"/>
      <b val="1"/>
      <color rgb="FF3D4F6F"/>
      <sz val="9"/>
    </font>
    <font>
      <name val="Calibri"/>
      <b val="1"/>
      <color rgb="FF1B2A4A"/>
      <sz val="18"/>
    </font>
    <font>
      <name val="Calibri"/>
      <b val="1"/>
      <color rgb="FF1B2A4A"/>
      <sz val="12"/>
    </font>
    <font>
      <name val="Calibri"/>
      <b val="1"/>
      <color rgb="FF2CB5AD"/>
      <sz val="16"/>
    </font>
    <font>
      <name val="Calibri"/>
      <i val="1"/>
      <color rgb="FF7A8CA0"/>
      <sz val="9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1B2A4A"/>
      <sz val="9"/>
    </font>
    <font>
      <name val="Calibri"/>
      <b val="1"/>
      <color rgb="FF1E7B55"/>
      <sz val="8"/>
    </font>
    <font>
      <name val="Calibri"/>
      <b val="1"/>
      <color rgb="FF8A6100"/>
      <sz val="8"/>
    </font>
    <font>
      <name val="Calibri"/>
      <b val="1"/>
      <color rgb="FFB23B3B"/>
      <sz val="8"/>
    </font>
  </fonts>
  <fills count="9">
    <fill>
      <patternFill/>
    </fill>
    <fill>
      <patternFill patternType="gray125"/>
    </fill>
    <fill>
      <patternFill patternType="solid">
        <fgColor rgb="FF2CB5AD"/>
      </patternFill>
    </fill>
    <fill>
      <patternFill patternType="solid">
        <fgColor rgb="FFF7F9FB"/>
      </patternFill>
    </fill>
    <fill>
      <patternFill patternType="solid">
        <fgColor rgb="FFE8ECF0"/>
      </patternFill>
    </fill>
    <fill>
      <patternFill patternType="solid">
        <fgColor rgb="FF1B2A4A"/>
      </patternFill>
    </fill>
    <fill>
      <patternFill patternType="solid">
        <fgColor rgb="FFE3F5EC"/>
      </patternFill>
    </fill>
    <fill>
      <patternFill patternType="solid">
        <fgColor rgb="FFFDF3D8"/>
      </patternFill>
    </fill>
    <fill>
      <patternFill patternType="solid">
        <fgColor rgb="FFFBE4E4"/>
      </patternFill>
    </fill>
  </fills>
  <borders count="5">
    <border>
      <left/>
      <right/>
      <top/>
      <bottom/>
      <diagonal/>
    </border>
    <border>
      <bottom style="thin">
        <color rgb="FF2CB5AD"/>
      </bottom>
    </border>
    <border>
      <bottom style="thin">
        <color rgb="FFE2E8F0"/>
      </bottom>
    </border>
    <border>
      <top style="thick">
        <color rgb="FFFFFFFF"/>
      </top>
      <bottom style="thick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vertical="center"/>
    </xf>
    <xf numFmtId="9" fontId="4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1" applyAlignment="1" pivotButton="0" quotePrefix="0" xfId="0">
      <alignment horizontal="right"/>
    </xf>
    <xf numFmtId="0" fontId="6" fillId="3" borderId="0" applyAlignment="1" pivotButton="0" quotePrefix="0" xfId="0">
      <alignment vertical="center" indent="1"/>
    </xf>
    <xf numFmtId="0" fontId="7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1" fillId="0" borderId="2" applyAlignment="1" pivotButton="0" quotePrefix="0" xfId="0">
      <alignment vertical="bottom"/>
    </xf>
    <xf numFmtId="0" fontId="0" fillId="0" borderId="2" pivotButton="0" quotePrefix="0" xfId="0"/>
    <xf numFmtId="0" fontId="7" fillId="0" borderId="0" applyAlignment="1" pivotButton="0" quotePrefix="0" xfId="0">
      <alignment vertical="center"/>
    </xf>
    <xf numFmtId="164" fontId="0" fillId="4" borderId="3" pivotButton="0" quotePrefix="0" xfId="0"/>
    <xf numFmtId="0" fontId="0" fillId="0" borderId="3" pivotButton="0" quotePrefix="0" xfId="0"/>
    <xf numFmtId="9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top" wrapText="1"/>
    </xf>
    <xf numFmtId="0" fontId="6" fillId="0" borderId="0" pivotButton="0" quotePrefix="0" xfId="0"/>
    <xf numFmtId="0" fontId="11" fillId="0" borderId="2" applyAlignment="1" pivotButton="0" quotePrefix="0" xfId="0">
      <alignment horizontal="center" vertical="top"/>
    </xf>
    <xf numFmtId="0" fontId="10" fillId="0" borderId="2" applyAlignment="1" pivotButton="0" quotePrefix="0" xfId="0">
      <alignment vertical="top" wrapText="1"/>
    </xf>
    <xf numFmtId="0" fontId="10" fillId="0" borderId="2" applyAlignment="1" pivotButton="0" quotePrefix="0" xfId="0">
      <alignment horizontal="center" vertical="top"/>
    </xf>
    <xf numFmtId="0" fontId="7" fillId="0" borderId="2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12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vertical="bottom" wrapText="1"/>
    </xf>
    <xf numFmtId="0" fontId="5" fillId="3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9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7" fillId="5" borderId="0" applyAlignment="1" pivotButton="0" quotePrefix="0" xfId="0">
      <alignment vertical="center" wrapText="1" indent="1"/>
    </xf>
    <xf numFmtId="9" fontId="11" fillId="5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 wrapText="1" indent="1"/>
    </xf>
    <xf numFmtId="0" fontId="18" fillId="5" borderId="0" applyAlignment="1" pivotButton="0" quotePrefix="0" xfId="0">
      <alignment vertical="center" wrapText="1" indent="1"/>
    </xf>
    <xf numFmtId="0" fontId="0" fillId="3" borderId="0" applyAlignment="1" pivotButton="0" quotePrefix="0" xfId="0">
      <alignment vertical="top" wrapText="1"/>
    </xf>
    <xf numFmtId="0" fontId="16" fillId="0" borderId="0" pivotButton="0" quotePrefix="0" xfId="0"/>
    <xf numFmtId="0" fontId="1" fillId="0" borderId="2" pivotButton="0" quotePrefix="0" xfId="0"/>
    <xf numFmtId="0" fontId="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vertical="top" wrapText="1"/>
    </xf>
    <xf numFmtId="0" fontId="19" fillId="0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right" vertical="center" indent="1"/>
    </xf>
    <xf numFmtId="0" fontId="0" fillId="3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center" vertical="center" wrapText="1"/>
    </xf>
    <xf numFmtId="0" fontId="21" fillId="7" borderId="0" applyAlignment="1" pivotButton="0" quotePrefix="0" xfId="0">
      <alignment horizontal="center" vertical="center" wrapText="1"/>
    </xf>
    <xf numFmtId="0" fontId="22" fillId="8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bottom"/>
    </xf>
    <xf numFmtId="0" fontId="19" fillId="0" borderId="2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I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5" customWidth="1" min="7" max="7"/>
    <col width="12" customWidth="1" min="8" max="8"/>
    <col width="18" customWidth="1" min="9" max="9"/>
    <col width="2" customWidth="1" min="10" max="10"/>
  </cols>
  <sheetData>
    <row r="1" ht="4" customHeight="1"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B2" s="2" t="inlineStr">
        <is>
          <t>CLOSE PLAN</t>
        </is>
      </c>
      <c r="H2" s="3" t="inlineStr">
        <is>
          <t>CLOSE READINESS</t>
        </is>
      </c>
    </row>
    <row r="3" ht="36" customHeight="1">
      <c r="B3" s="4" t="n"/>
      <c r="H3" s="5">
        <f>'Health Score'!B3</f>
        <v/>
      </c>
    </row>
    <row r="4">
      <c r="B4" s="6" t="n"/>
      <c r="C4" s="6" t="n"/>
      <c r="D4" s="6" t="n"/>
      <c r="E4" s="6" t="n"/>
      <c r="F4" s="6" t="n"/>
      <c r="G4" s="6" t="n"/>
      <c r="H4" s="7" t="inlineStr">
        <is>
          <t>share of the 26 checklist items</t>
        </is>
      </c>
      <c r="I4" s="6" t="n"/>
    </row>
    <row r="6" ht="30" customHeight="1">
      <c r="B6" s="8" t="inlineStr">
        <is>
          <t>AMOUNT</t>
        </is>
      </c>
      <c r="C6" s="9" t="n"/>
      <c r="D6" s="8" t="inlineStr">
        <is>
          <t>CLOSE DATE</t>
        </is>
      </c>
      <c r="E6" s="9" t="n"/>
      <c r="F6" s="8" t="inlineStr">
        <is>
          <t>STAGE</t>
        </is>
      </c>
      <c r="G6" s="9" t="n"/>
      <c r="H6" s="8" t="inlineStr">
        <is>
          <t>AE</t>
        </is>
      </c>
      <c r="I6" s="9" t="n"/>
    </row>
    <row r="7" ht="30" customHeight="1">
      <c r="B7" s="8" t="inlineStr">
        <is>
          <t>SE</t>
        </is>
      </c>
      <c r="C7" s="9" t="n"/>
      <c r="D7" s="8" t="inlineStr">
        <is>
          <t>PARTNER</t>
        </is>
      </c>
      <c r="E7" s="9" t="n"/>
      <c r="F7" s="8" t="inlineStr">
        <is>
          <t>CRM</t>
        </is>
      </c>
      <c r="G7" s="9" t="n"/>
      <c r="H7" s="10" t="n"/>
      <c r="I7" s="10" t="n"/>
    </row>
    <row r="9" ht="22" customHeight="1">
      <c r="B9" s="11" t="inlineStr">
        <is>
          <t>READINESS BY BUCKET</t>
        </is>
      </c>
      <c r="C9" s="12" t="n"/>
      <c r="D9" s="12" t="n"/>
      <c r="E9" s="12" t="n"/>
      <c r="F9" s="12" t="n"/>
      <c r="G9" s="12" t="n"/>
      <c r="H9" s="12" t="n"/>
      <c r="I9" s="12" t="n"/>
    </row>
    <row r="10" ht="20" customHeight="1">
      <c r="B10" s="13" t="inlineStr">
        <is>
          <t>Stakeholder Alignment</t>
        </is>
      </c>
      <c r="D10" s="14">
        <f>'Health Score'!C7</f>
        <v/>
      </c>
      <c r="E10" s="15" t="n"/>
      <c r="F10" s="15" t="n"/>
      <c r="G10" s="15" t="n"/>
      <c r="H10" s="16">
        <f>'Health Score'!C7</f>
        <v/>
      </c>
      <c r="I10" s="17">
        <f>IF(H10=MIN($H$10:$H$14),"Weakest","")</f>
        <v/>
      </c>
    </row>
    <row r="11" ht="20" customHeight="1">
      <c r="B11" s="13" t="inlineStr">
        <is>
          <t>Technical Validation</t>
        </is>
      </c>
      <c r="D11" s="14">
        <f>'Health Score'!C15</f>
        <v/>
      </c>
      <c r="E11" s="15" t="n"/>
      <c r="F11" s="15" t="n"/>
      <c r="G11" s="15" t="n"/>
      <c r="H11" s="16">
        <f>'Health Score'!C15</f>
        <v/>
      </c>
      <c r="I11" s="17">
        <f>IF(H11=MIN($H$10:$H$14),"Weakest","")</f>
        <v/>
      </c>
    </row>
    <row r="12" ht="20" customHeight="1">
      <c r="B12" s="13" t="inlineStr">
        <is>
          <t>Commercial</t>
        </is>
      </c>
      <c r="D12" s="14">
        <f>'Health Score'!C21</f>
        <v/>
      </c>
      <c r="E12" s="15" t="n"/>
      <c r="F12" s="15" t="n"/>
      <c r="G12" s="15" t="n"/>
      <c r="H12" s="16">
        <f>'Health Score'!C21</f>
        <v/>
      </c>
      <c r="I12" s="17">
        <f>IF(H12=MIN($H$10:$H$14),"Weakest","")</f>
        <v/>
      </c>
    </row>
    <row r="13" ht="20" customHeight="1">
      <c r="B13" s="13" t="inlineStr">
        <is>
          <t>Competition</t>
        </is>
      </c>
      <c r="D13" s="14">
        <f>'Health Score'!C29</f>
        <v/>
      </c>
      <c r="E13" s="15" t="n"/>
      <c r="F13" s="15" t="n"/>
      <c r="G13" s="15" t="n"/>
      <c r="H13" s="16">
        <f>'Health Score'!C29</f>
        <v/>
      </c>
      <c r="I13" s="17">
        <f>IF(H13=MIN($H$10:$H$14),"Weakest","")</f>
        <v/>
      </c>
    </row>
    <row r="14" ht="20" customHeight="1">
      <c r="B14" s="13" t="inlineStr">
        <is>
          <t>Timeline &amp; Risk</t>
        </is>
      </c>
      <c r="D14" s="14">
        <f>'Health Score'!C34</f>
        <v/>
      </c>
      <c r="E14" s="15" t="n"/>
      <c r="F14" s="15" t="n"/>
      <c r="G14" s="15" t="n"/>
      <c r="H14" s="16">
        <f>'Health Score'!C34</f>
        <v/>
      </c>
      <c r="I14" s="17">
        <f>IF(H14=MIN($H$10:$H$14),"Weakest","")</f>
        <v/>
      </c>
    </row>
    <row r="16" ht="22" customHeight="1">
      <c r="B16" s="11" t="inlineStr">
        <is>
          <t>TOP RISKS</t>
        </is>
      </c>
      <c r="C16" s="12" t="n"/>
      <c r="D16" s="12" t="n"/>
      <c r="E16" s="12" t="n"/>
      <c r="F16" s="12" t="n"/>
      <c r="G16" s="12" t="n"/>
      <c r="H16" s="12" t="n"/>
      <c r="I16" s="12" t="n"/>
    </row>
    <row r="17" ht="18" customHeight="1">
      <c r="B17" s="18" t="n"/>
    </row>
    <row r="18" ht="18" customHeight="1">
      <c r="B18" s="18" t="n"/>
    </row>
    <row r="19" ht="18" customHeight="1">
      <c r="B19" s="18" t="n"/>
    </row>
    <row r="21" ht="22" customHeight="1">
      <c r="B21" s="11" t="inlineStr">
        <is>
          <t>NEXT ACTIONS</t>
        </is>
      </c>
      <c r="C21" s="12" t="n"/>
      <c r="D21" s="12" t="n"/>
      <c r="E21" s="12" t="n"/>
      <c r="F21" s="12" t="n"/>
      <c r="G21" s="12" t="n"/>
      <c r="H21" s="12" t="n"/>
      <c r="I21" s="12" t="n"/>
    </row>
    <row r="22">
      <c r="B22" s="19" t="inlineStr">
        <is>
          <t>#</t>
        </is>
      </c>
      <c r="C22" s="19" t="inlineStr">
        <is>
          <t>ACTION</t>
        </is>
      </c>
      <c r="G22" s="19" t="inlineStr">
        <is>
          <t>OWNER</t>
        </is>
      </c>
      <c r="I22" s="19" t="inlineStr">
        <is>
          <t>STATUS</t>
        </is>
      </c>
    </row>
    <row r="23" ht="30" customHeight="1">
      <c r="B23" s="20" t="n">
        <v>1</v>
      </c>
      <c r="C23" s="21" t="n"/>
      <c r="D23" s="12" t="n"/>
      <c r="E23" s="12" t="n"/>
      <c r="F23" s="12" t="n"/>
      <c r="G23" s="21" t="n"/>
      <c r="H23" s="12" t="n"/>
      <c r="I23" s="22" t="n"/>
    </row>
    <row r="24" ht="30" customHeight="1">
      <c r="B24" s="20" t="n">
        <v>2</v>
      </c>
      <c r="C24" s="21" t="n"/>
      <c r="D24" s="12" t="n"/>
      <c r="E24" s="12" t="n"/>
      <c r="F24" s="12" t="n"/>
      <c r="G24" s="21" t="n"/>
      <c r="H24" s="12" t="n"/>
      <c r="I24" s="22" t="n"/>
    </row>
    <row r="25" ht="30" customHeight="1">
      <c r="B25" s="20" t="n">
        <v>3</v>
      </c>
      <c r="C25" s="21" t="n"/>
      <c r="D25" s="12" t="n"/>
      <c r="E25" s="12" t="n"/>
      <c r="F25" s="12" t="n"/>
      <c r="G25" s="21" t="n"/>
      <c r="H25" s="12" t="n"/>
      <c r="I25" s="22" t="n"/>
    </row>
    <row r="26" ht="30" customHeight="1">
      <c r="B26" s="20" t="n">
        <v>4</v>
      </c>
      <c r="C26" s="21" t="n"/>
      <c r="D26" s="12" t="n"/>
      <c r="E26" s="12" t="n"/>
      <c r="F26" s="12" t="n"/>
      <c r="G26" s="21" t="n"/>
      <c r="H26" s="12" t="n"/>
      <c r="I26" s="22" t="n"/>
    </row>
    <row r="27" ht="30" customHeight="1">
      <c r="B27" s="20" t="n">
        <v>5</v>
      </c>
      <c r="C27" s="21" t="n"/>
      <c r="D27" s="12" t="n"/>
      <c r="E27" s="12" t="n"/>
      <c r="F27" s="12" t="n"/>
      <c r="G27" s="21" t="n"/>
      <c r="H27" s="12" t="n"/>
      <c r="I27" s="22" t="n"/>
    </row>
    <row r="29" ht="22" customHeight="1">
      <c r="B29" s="11" t="inlineStr">
        <is>
          <t>KEY PEOPLE</t>
        </is>
      </c>
      <c r="C29" s="12" t="n"/>
      <c r="D29" s="12" t="n"/>
      <c r="E29" s="12" t="n"/>
      <c r="F29" s="12" t="n"/>
      <c r="G29" s="12" t="n"/>
      <c r="H29" s="12" t="n"/>
      <c r="I29" s="12" t="n"/>
    </row>
    <row r="30">
      <c r="B30" s="19" t="inlineStr">
        <is>
          <t>ROLE</t>
        </is>
      </c>
      <c r="E30" s="19" t="inlineStr">
        <is>
          <t>NAME</t>
        </is>
      </c>
      <c r="H30" s="19" t="inlineStr">
        <is>
          <t>ENGAGEMENT</t>
        </is>
      </c>
    </row>
    <row r="31" ht="20" customHeight="1">
      <c r="B31" s="23">
        <f>'Stakeholder Map'!A18</f>
        <v/>
      </c>
      <c r="C31" s="12" t="n"/>
      <c r="D31" s="12" t="n"/>
      <c r="E31" s="24">
        <f>'Stakeholder Map'!B18</f>
        <v/>
      </c>
      <c r="F31" s="12" t="n"/>
      <c r="G31" s="12" t="n"/>
      <c r="H31" s="25">
        <f>'Stakeholder Map'!C18</f>
        <v/>
      </c>
      <c r="I31" s="12" t="n"/>
    </row>
    <row r="32" ht="20" customHeight="1">
      <c r="B32" s="23">
        <f>'Stakeholder Map'!A19</f>
        <v/>
      </c>
      <c r="C32" s="12" t="n"/>
      <c r="D32" s="12" t="n"/>
      <c r="E32" s="24">
        <f>'Stakeholder Map'!B19</f>
        <v/>
      </c>
      <c r="F32" s="12" t="n"/>
      <c r="G32" s="12" t="n"/>
      <c r="H32" s="25">
        <f>'Stakeholder Map'!C19</f>
        <v/>
      </c>
      <c r="I32" s="12" t="n"/>
    </row>
    <row r="33" ht="20" customHeight="1">
      <c r="B33" s="23">
        <f>'Stakeholder Map'!A20</f>
        <v/>
      </c>
      <c r="C33" s="12" t="n"/>
      <c r="D33" s="12" t="n"/>
      <c r="E33" s="24">
        <f>'Stakeholder Map'!B20</f>
        <v/>
      </c>
      <c r="F33" s="12" t="n"/>
      <c r="G33" s="12" t="n"/>
      <c r="H33" s="25">
        <f>'Stakeholder Map'!C20</f>
        <v/>
      </c>
      <c r="I33" s="12" t="n"/>
    </row>
    <row r="34" ht="20" customHeight="1">
      <c r="B34" s="23">
        <f>'Stakeholder Map'!A21</f>
        <v/>
      </c>
      <c r="C34" s="12" t="n"/>
      <c r="D34" s="12" t="n"/>
      <c r="E34" s="24">
        <f>'Stakeholder Map'!B21</f>
        <v/>
      </c>
      <c r="F34" s="12" t="n"/>
      <c r="G34" s="12" t="n"/>
      <c r="H34" s="25">
        <f>'Stakeholder Map'!C21</f>
        <v/>
      </c>
      <c r="I34" s="12" t="n"/>
    </row>
    <row r="35" ht="20" customHeight="1">
      <c r="B35" s="23">
        <f>'Stakeholder Map'!A22</f>
        <v/>
      </c>
      <c r="C35" s="12" t="n"/>
      <c r="D35" s="12" t="n"/>
      <c r="E35" s="24">
        <f>'Stakeholder Map'!B22</f>
        <v/>
      </c>
      <c r="F35" s="12" t="n"/>
      <c r="G35" s="12" t="n"/>
      <c r="H35" s="25">
        <f>'Stakeholder Map'!C22</f>
        <v/>
      </c>
      <c r="I35" s="12" t="n"/>
    </row>
    <row r="36" ht="20" customHeight="1">
      <c r="B36" s="23">
        <f>'Stakeholder Map'!A23</f>
        <v/>
      </c>
      <c r="C36" s="12" t="n"/>
      <c r="D36" s="12" t="n"/>
      <c r="E36" s="24">
        <f>'Stakeholder Map'!B23</f>
        <v/>
      </c>
      <c r="F36" s="12" t="n"/>
      <c r="G36" s="12" t="n"/>
      <c r="H36" s="25">
        <f>'Stakeholder Map'!C23</f>
        <v/>
      </c>
      <c r="I36" s="12" t="n"/>
    </row>
    <row r="38" ht="22" customHeight="1">
      <c r="B38" s="11" t="inlineStr">
        <is>
          <t>DEAL STORY</t>
        </is>
      </c>
      <c r="C38" s="12" t="n"/>
      <c r="D38" s="12" t="n"/>
      <c r="E38" s="12" t="n"/>
      <c r="F38" s="12" t="n"/>
      <c r="G38" s="12" t="n"/>
      <c r="H38" s="12" t="n"/>
      <c r="I38" s="12" t="n"/>
    </row>
    <row r="39" ht="22" customHeight="1">
      <c r="B39" s="26" t="inlineStr">
        <is>
          <t>Who are the primary business units using the product?</t>
        </is>
      </c>
    </row>
    <row r="40" ht="18" customHeight="1">
      <c r="B40" s="18" t="n"/>
    </row>
    <row r="41" ht="22" customHeight="1">
      <c r="B41" s="26" t="inlineStr">
        <is>
          <t>How are they using the product today?</t>
        </is>
      </c>
    </row>
    <row r="42" ht="18" customHeight="1">
      <c r="B42" s="18" t="n"/>
    </row>
    <row r="43" ht="22" customHeight="1">
      <c r="B43" s="26" t="inlineStr">
        <is>
          <t>What is the primary use case vs. what is the secondary use case? (use case = what problem are we solving)</t>
        </is>
      </c>
    </row>
    <row r="44" ht="18" customHeight="1">
      <c r="B44" s="18" t="n"/>
    </row>
    <row r="45" ht="22" customHeight="1">
      <c r="B45" s="26" t="inlineStr">
        <is>
          <t>What is the product's impact to the customer's business? (cite specific metrics)</t>
        </is>
      </c>
    </row>
    <row r="46" ht="18" customHeight="1">
      <c r="B46" s="18" t="n"/>
    </row>
    <row r="48" ht="18" customHeight="1">
      <c r="B48" s="27">
        <f>IF('Health Score'!A44="","",'Health Score'!A44)</f>
        <v/>
      </c>
    </row>
    <row r="49" ht="18" customHeight="1"/>
  </sheetData>
  <mergeCells count="57">
    <mergeCell ref="B48:I49"/>
    <mergeCell ref="H35:I35"/>
    <mergeCell ref="C23:F23"/>
    <mergeCell ref="D12:G12"/>
    <mergeCell ref="E31:G31"/>
    <mergeCell ref="G27:H27"/>
    <mergeCell ref="E34:G34"/>
    <mergeCell ref="G23:H23"/>
    <mergeCell ref="H4:I4"/>
    <mergeCell ref="H31:I31"/>
    <mergeCell ref="B46:I46"/>
    <mergeCell ref="D14:G14"/>
    <mergeCell ref="B34:D34"/>
    <mergeCell ref="B12:C12"/>
    <mergeCell ref="B18:I18"/>
    <mergeCell ref="B43:I43"/>
    <mergeCell ref="H34:I34"/>
    <mergeCell ref="E36:G36"/>
    <mergeCell ref="B11:C11"/>
    <mergeCell ref="B39:I39"/>
    <mergeCell ref="B42:I42"/>
    <mergeCell ref="B14:C14"/>
    <mergeCell ref="H36:I36"/>
    <mergeCell ref="D10:G10"/>
    <mergeCell ref="C24:F24"/>
    <mergeCell ref="B17:I17"/>
    <mergeCell ref="B13:C13"/>
    <mergeCell ref="E32:G32"/>
    <mergeCell ref="B33:D33"/>
    <mergeCell ref="B36:D36"/>
    <mergeCell ref="H2:I2"/>
    <mergeCell ref="B44:I44"/>
    <mergeCell ref="G24:H24"/>
    <mergeCell ref="H32:I32"/>
    <mergeCell ref="C26:F26"/>
    <mergeCell ref="B32:D32"/>
    <mergeCell ref="B10:C10"/>
    <mergeCell ref="B35:D35"/>
    <mergeCell ref="B19:I19"/>
    <mergeCell ref="D11:G11"/>
    <mergeCell ref="D13:G13"/>
    <mergeCell ref="C25:F25"/>
    <mergeCell ref="G26:H26"/>
    <mergeCell ref="H3:I3"/>
    <mergeCell ref="B3:G3"/>
    <mergeCell ref="C22:F22"/>
    <mergeCell ref="B40:I40"/>
    <mergeCell ref="E33:G33"/>
    <mergeCell ref="B45:I45"/>
    <mergeCell ref="B31:D31"/>
    <mergeCell ref="G25:H25"/>
    <mergeCell ref="H33:I33"/>
    <mergeCell ref="E35:G35"/>
    <mergeCell ref="G22:H22"/>
    <mergeCell ref="C27:F27"/>
    <mergeCell ref="B41:I41"/>
    <mergeCell ref="G7:I7"/>
  </mergeCells>
  <conditionalFormatting sqref="D10:D14">
    <cfRule type="dataBar" priority="1">
      <dataBar showValue="0">
        <cfvo type="num" val="0"/>
        <cfvo type="num" val="1"/>
        <color rgb="002CB5AD"/>
      </dataBar>
    </cfRule>
  </conditionalFormatting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12" customWidth="1" min="3" max="3"/>
  </cols>
  <sheetData>
    <row r="1" ht="28" customHeight="1">
      <c r="A1" s="28" t="inlineStr">
        <is>
          <t>Health Score</t>
        </is>
      </c>
    </row>
    <row r="3" ht="24" customHeight="1">
      <c r="A3" s="29" t="inlineStr">
        <is>
          <t>Overall</t>
        </is>
      </c>
      <c r="B3" s="30">
        <f>AVERAGE(C7,C15,C21,C29,C34)</f>
        <v/>
      </c>
    </row>
    <row r="5" ht="40" customHeight="1">
      <c r="A5" s="31" t="inlineStr">
        <is>
          <t>Every item scored "No", "In Progress" or "Needs Input" generates a recommended action on the Action Plan tab. Each item is worth an equal share of its bucket: Yes = 100%, In Progress = 50%, No and Needs Input = 0%. Overall = the five bucket scores weighted equally. Change a status from the dropdown and every score, including the Summary, recalculates.</t>
        </is>
      </c>
    </row>
    <row r="7" ht="20" customHeight="1">
      <c r="A7" s="32" t="inlineStr">
        <is>
          <t>STAKEHOLDER ALIGNMENT</t>
        </is>
      </c>
      <c r="C7" s="33">
        <f>(COUNTIF(A8:A13,"Yes")+0.5*COUNTIF(A8:A13,"In Progress"))/COUNTA($B$8:$B$13)</f>
        <v/>
      </c>
    </row>
    <row r="8" ht="18" customHeight="1">
      <c r="A8" s="34" t="n"/>
      <c r="B8" s="35" t="inlineStr">
        <is>
          <t>Champion identified and confirmed (has influence + is actively selling internally)</t>
        </is>
      </c>
      <c r="C8" s="12" t="n"/>
    </row>
    <row r="9" ht="18" customHeight="1">
      <c r="A9" s="34" t="n"/>
      <c r="B9" s="35" t="inlineStr">
        <is>
          <t>Economic buyer identified and engaged directly (not just through champion)</t>
        </is>
      </c>
      <c r="C9" s="12" t="n"/>
    </row>
    <row r="10" ht="18" customHeight="1">
      <c r="A10" s="34" t="n"/>
      <c r="B10" s="35" t="inlineStr">
        <is>
          <t>All stakeholders/influencers mapped (security, legal, procurement, end users, IT)</t>
        </is>
      </c>
      <c r="C10" s="12" t="n"/>
    </row>
    <row r="11" ht="18" customHeight="1">
      <c r="A11" s="34" t="n"/>
      <c r="B11" s="35" t="inlineStr">
        <is>
          <t>Decision criteria documented and agreed by buyer</t>
        </is>
      </c>
      <c r="C11" s="12" t="n"/>
    </row>
    <row r="12" ht="18" customHeight="1">
      <c r="A12" s="34" t="n"/>
      <c r="B12" s="35" t="inlineStr">
        <is>
          <t>Decision process and approval chain confirmed (who signs, in what order)</t>
        </is>
      </c>
      <c r="C12" s="12" t="n"/>
    </row>
    <row r="13" ht="18" customHeight="1">
      <c r="A13" s="34" t="n"/>
      <c r="B13" s="35" t="inlineStr">
        <is>
          <t>Compelling event / reason to act by target date is explicit</t>
        </is>
      </c>
      <c r="C13" s="12" t="n"/>
    </row>
    <row r="15" ht="20" customHeight="1">
      <c r="A15" s="32" t="inlineStr">
        <is>
          <t>TECHNICAL VALIDATION</t>
        </is>
      </c>
      <c r="C15" s="33">
        <f>(COUNTIF(A16:A19,"Yes")+0.5*COUNTIF(A16:A19,"In Progress"))/COUNTA($B$16:$B$19)</f>
        <v/>
      </c>
    </row>
    <row r="16" ht="18" customHeight="1">
      <c r="A16" s="34" t="n"/>
      <c r="B16" s="35" t="inlineStr">
        <is>
          <t>Technical win confirmed (POC/trial success criteria met and documented)</t>
        </is>
      </c>
      <c r="C16" s="12" t="n"/>
    </row>
    <row r="17" ht="18" customHeight="1">
      <c r="A17" s="34" t="n"/>
      <c r="B17" s="35" t="inlineStr">
        <is>
          <t>Security review status known (in progress / passed / not started)</t>
        </is>
      </c>
      <c r="C17" s="12" t="n"/>
    </row>
    <row r="18" ht="18" customHeight="1">
      <c r="A18" s="34" t="n"/>
      <c r="B18" s="35" t="inlineStr">
        <is>
          <t>Integration requirements scoped and no blockers open</t>
        </is>
      </c>
      <c r="C18" s="12" t="n"/>
    </row>
    <row r="19" ht="18" customHeight="1">
      <c r="A19" s="34" t="n"/>
      <c r="B19" s="35" t="inlineStr">
        <is>
          <t>Any outstanding product gaps or feature requests flagged to product team</t>
        </is>
      </c>
      <c r="C19" s="12" t="n"/>
    </row>
    <row r="21" ht="20" customHeight="1">
      <c r="A21" s="32" t="inlineStr">
        <is>
          <t>COMMERCIAL</t>
        </is>
      </c>
      <c r="C21" s="33">
        <f>(COUNTIF(A22:A27,"Yes")+0.5*COUNTIF(A22:A27,"In Progress"))/COUNTA($B$22:$B$27)</f>
        <v/>
      </c>
    </row>
    <row r="22" ht="18" customHeight="1">
      <c r="A22" s="34" t="n"/>
      <c r="B22" s="35" t="inlineStr">
        <is>
          <t>Budget confirmed to exist and be allocated for this fiscal period</t>
        </is>
      </c>
      <c r="C22" s="12" t="n"/>
    </row>
    <row r="23" ht="18" customHeight="1">
      <c r="A23" s="34" t="n"/>
      <c r="B23" s="35" t="inlineStr">
        <is>
          <t>Pricing/packaging aligned with buyer's expectations</t>
        </is>
      </c>
      <c r="C23" s="12" t="n"/>
    </row>
    <row r="24" ht="18" customHeight="1">
      <c r="A24" s="34" t="n"/>
      <c r="B24" s="35" t="inlineStr">
        <is>
          <t>Quote/order form sent and reviewed by buyer</t>
        </is>
      </c>
      <c r="C24" s="12" t="n"/>
    </row>
    <row r="25" ht="18" customHeight="1">
      <c r="A25" s="34" t="n"/>
      <c r="B25" s="35" t="inlineStr">
        <is>
          <t>Procurement process started (vendor onboarding, security questionnaires, etc.)</t>
        </is>
      </c>
      <c r="C25" s="12" t="n"/>
    </row>
    <row r="26" ht="18" customHeight="1">
      <c r="A26" s="34" t="n"/>
      <c r="B26" s="35" t="inlineStr">
        <is>
          <t>Legal/MSA redlines identified early, not first surfaced at the finish line</t>
        </is>
      </c>
      <c r="C26" s="12" t="n"/>
    </row>
    <row r="27" ht="18" customHeight="1">
      <c r="A27" s="34" t="n"/>
      <c r="B27" s="35" t="inlineStr">
        <is>
          <t>Have we established enough value w/ key stakeholders to mitigate potential for discounting?</t>
        </is>
      </c>
      <c r="C27" s="12" t="n"/>
    </row>
    <row r="29" ht="20" customHeight="1">
      <c r="A29" s="32" t="inlineStr">
        <is>
          <t>COMPETITION</t>
        </is>
      </c>
      <c r="C29" s="33">
        <f>(COUNTIF(A30:A32,"Yes")+0.5*COUNTIF(A30:A32,"In Progress"))/COUNTA($B$30:$B$32)</f>
        <v/>
      </c>
    </row>
    <row r="30" ht="18" customHeight="1">
      <c r="A30" s="34" t="n"/>
      <c r="B30" s="35" t="inlineStr">
        <is>
          <t>Competitive landscape known (incumbent, alternatives being evaluated)</t>
        </is>
      </c>
      <c r="C30" s="12" t="n"/>
    </row>
    <row r="31" ht="18" customHeight="1">
      <c r="A31" s="34" t="n"/>
      <c r="B31" s="35" t="inlineStr">
        <is>
          <t>Differentiation validated with champion, they can repeat it internally</t>
        </is>
      </c>
      <c r="C31" s="12" t="n"/>
    </row>
    <row r="32" ht="18" customHeight="1">
      <c r="A32" s="34" t="n"/>
      <c r="B32" s="35" t="inlineStr">
        <is>
          <t>No unaddressed objections tied to a competitor's pitch</t>
        </is>
      </c>
      <c r="C32" s="12" t="n"/>
    </row>
    <row r="34" ht="20" customHeight="1">
      <c r="A34" s="32" t="inlineStr">
        <is>
          <t>TIMELINE &amp; RISK</t>
        </is>
      </c>
      <c r="C34" s="33">
        <f>(COUNTIF(A35:A41,"Yes")+0.5*COUNTIF(A35:A41,"In Progress"))/COUNTA($B$35:$B$41)</f>
        <v/>
      </c>
    </row>
    <row r="35" ht="18" customHeight="1">
      <c r="A35" s="34" t="n"/>
      <c r="B35" s="35" t="inlineStr">
        <is>
          <t>Mutual close plan shared with buyer, with dates both sides agreed to</t>
        </is>
      </c>
      <c r="C35" s="12" t="n"/>
    </row>
    <row r="36" ht="18" customHeight="1">
      <c r="A36" s="34" t="n"/>
      <c r="B36" s="35" t="inlineStr">
        <is>
          <t>Next step scheduled with a specific date (not "follow up next week")</t>
        </is>
      </c>
      <c r="C36" s="12" t="n"/>
    </row>
    <row r="37" ht="18" customHeight="1">
      <c r="A37" s="34" t="n"/>
      <c r="B37" s="35" t="inlineStr">
        <is>
          <t>Key risk(s) to close named explicitly, e.g. budget freeze, exec turnover, competing priority</t>
        </is>
      </c>
      <c r="C37" s="12" t="n"/>
    </row>
    <row r="38" ht="18" customHeight="1">
      <c r="A38" s="34" t="n"/>
      <c r="B38" s="35" t="inlineStr">
        <is>
          <t>Backup plan if primary champion goes dark or leaves</t>
        </is>
      </c>
      <c r="C38" s="12" t="n"/>
    </row>
    <row r="39" ht="18" customHeight="1">
      <c r="A39" s="34" t="n"/>
      <c r="B39" s="35" t="inlineStr">
        <is>
          <t>Do we have a clear migration or onboarding plan?</t>
        </is>
      </c>
      <c r="C39" s="12" t="n"/>
    </row>
    <row r="40" ht="18" customHeight="1">
      <c r="A40" s="34" t="n"/>
      <c r="B40" s="35" t="inlineStr">
        <is>
          <t>Do we have an onboarding owner identified?</t>
        </is>
      </c>
      <c r="C40" s="12" t="n"/>
    </row>
    <row r="41" ht="18" customHeight="1">
      <c r="A41" s="34" t="n"/>
      <c r="B41" s="35" t="inlineStr">
        <is>
          <t>Forecast category matches actual deal signals (don't call it Commit if 3+ boxes above are unchecked)</t>
        </is>
      </c>
      <c r="C41" s="12" t="n"/>
    </row>
    <row r="43" ht="18" customHeight="1">
      <c r="A43" s="36" t="inlineStr">
        <is>
          <t>COVERAGE AND EVIDENCE LIMITS</t>
        </is>
      </c>
    </row>
    <row r="44" ht="14.5" customHeight="1">
      <c r="A44" s="37" t="n"/>
    </row>
    <row r="45" ht="14.5" customHeight="1"/>
    <row r="46" ht="14.5" customHeight="1"/>
    <row r="47" ht="14.5" customHeight="1"/>
  </sheetData>
  <mergeCells count="8">
    <mergeCell ref="A21:B21"/>
    <mergeCell ref="A29:B29"/>
    <mergeCell ref="A15:B15"/>
    <mergeCell ref="A5:C5"/>
    <mergeCell ref="A7:B7"/>
    <mergeCell ref="A44:C47"/>
    <mergeCell ref="A43:C43"/>
    <mergeCell ref="A34:B34"/>
  </mergeCells>
  <dataValidations count="1">
    <dataValidation sqref="A8 A9 A10 A11 A12 A13 A16 A17 A18 A19 A22 A23 A24 A25 A26 A27 A30 A31 A32 A35 A36 A37 A38 A39 A40 A41" showDropDown="0" showInputMessage="0" showErrorMessage="0" allowBlank="1" type="list">
      <formula1>"Yes,No,In Progress,Needs Input"</formula1>
    </dataValidation>
  </dataValidation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8" customWidth="1" min="3" max="3"/>
    <col width="18" customWidth="1" min="4" max="4"/>
    <col width="14" customWidth="1" min="5" max="5"/>
    <col width="42" customWidth="1" min="6" max="6"/>
  </cols>
  <sheetData>
    <row r="1" ht="28" customHeight="1">
      <c r="A1" s="28" t="inlineStr">
        <is>
          <t>Action Plan</t>
        </is>
      </c>
    </row>
    <row r="2">
      <c r="A2" s="38" t="inlineStr">
        <is>
          <t>One row per Health Score item that is not a Yes. Filter by owner or status.</t>
        </is>
      </c>
    </row>
    <row r="3" ht="22" customHeight="1">
      <c r="A3" s="32" t="inlineStr">
        <is>
          <t>Bucket</t>
        </is>
      </c>
      <c r="B3" s="32" t="inlineStr">
        <is>
          <t>Gap (from Health Score)</t>
        </is>
      </c>
      <c r="C3" s="32" t="inlineStr">
        <is>
          <t>Recommended Action</t>
        </is>
      </c>
      <c r="D3" s="32" t="inlineStr">
        <is>
          <t>Owner</t>
        </is>
      </c>
      <c r="E3" s="32" t="inlineStr">
        <is>
          <t>Status</t>
        </is>
      </c>
      <c r="F3" s="32" t="inlineStr">
        <is>
          <t>Comments</t>
        </is>
      </c>
    </row>
  </sheetData>
  <dataValidations count="1">
    <dataValidation sqref="E4:E200" showDropDown="0" showInputMessage="0" showErrorMessage="0" allowBlank="1" type="list">
      <formula1>"Not started,In progress,Blocked,Done"</formula1>
    </dataValidation>
  </dataValidation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8" t="inlineStr">
        <is>
          <t>Stakeholder Map</t>
        </is>
      </c>
    </row>
    <row r="3" ht="20" customHeight="1">
      <c r="A3" s="39" t="inlineStr">
        <is>
          <t>BUYING COMMITTEE: seniority x function</t>
        </is>
      </c>
      <c r="B3" s="12" t="n"/>
      <c r="C3" s="12" t="n"/>
      <c r="D3" s="12" t="n"/>
      <c r="E3" s="12" t="n"/>
      <c r="F3" s="12" t="n"/>
      <c r="G3" s="12" t="n"/>
    </row>
    <row r="5" ht="31.5" customHeight="1">
      <c r="A5" s="40" t="inlineStr">
        <is>
          <t>C-Suite</t>
        </is>
      </c>
      <c r="B5" s="41" t="n"/>
    </row>
    <row r="7" ht="30" customHeight="1">
      <c r="A7" s="19" t="inlineStr">
        <is>
          <t>Seniority</t>
        </is>
      </c>
      <c r="B7" s="42" t="inlineStr">
        <is>
          <t>Business / LOB</t>
        </is>
      </c>
      <c r="C7" s="42" t="inlineStr">
        <is>
          <t>Technical / Engineering</t>
        </is>
      </c>
      <c r="D7" s="42" t="inlineStr">
        <is>
          <t>Enablement / Ops</t>
        </is>
      </c>
      <c r="E7" s="42" t="inlineStr">
        <is>
          <t>Security</t>
        </is>
      </c>
      <c r="F7" s="42" t="inlineStr">
        <is>
          <t>IT / Platform</t>
        </is>
      </c>
      <c r="G7" s="42" t="inlineStr">
        <is>
          <t>Procurement / Legal</t>
        </is>
      </c>
    </row>
    <row r="8" ht="30" customHeight="1">
      <c r="A8" s="43" t="inlineStr">
        <is>
          <t>VP</t>
        </is>
      </c>
      <c r="B8" s="44" t="n"/>
      <c r="C8" s="44" t="n"/>
      <c r="D8" s="44" t="n"/>
      <c r="E8" s="44" t="n"/>
      <c r="F8" s="44" t="n"/>
      <c r="G8" s="44" t="n"/>
    </row>
    <row r="9" ht="30" customHeight="1">
      <c r="A9" s="43" t="inlineStr">
        <is>
          <t>Director</t>
        </is>
      </c>
      <c r="B9" s="44" t="n"/>
      <c r="C9" s="44" t="n"/>
      <c r="D9" s="44" t="n"/>
      <c r="E9" s="44" t="n"/>
      <c r="F9" s="44" t="n"/>
      <c r="G9" s="44" t="n"/>
    </row>
    <row r="10" ht="30" customHeight="1">
      <c r="A10" s="43" t="inlineStr">
        <is>
          <t>Manager</t>
        </is>
      </c>
      <c r="B10" s="44" t="n"/>
      <c r="C10" s="44" t="n"/>
      <c r="D10" s="44" t="n"/>
      <c r="E10" s="44" t="n"/>
      <c r="F10" s="44" t="n"/>
      <c r="G10" s="44" t="n"/>
    </row>
    <row r="11" ht="30" customHeight="1">
      <c r="A11" s="43" t="inlineStr">
        <is>
          <t>Individual Contributor</t>
        </is>
      </c>
      <c r="B11" s="44" t="n"/>
      <c r="C11" s="44" t="n"/>
      <c r="D11" s="44" t="n"/>
      <c r="E11" s="44" t="n"/>
      <c r="F11" s="44" t="n"/>
      <c r="G11" s="44" t="n"/>
    </row>
    <row r="12" ht="30" customHeight="1">
      <c r="A12" s="43" t="inlineStr">
        <is>
          <t>Seniority not stated</t>
        </is>
      </c>
      <c r="B12" s="44" t="n"/>
      <c r="C12" s="44" t="n"/>
      <c r="D12" s="44" t="n"/>
      <c r="E12" s="44" t="n"/>
      <c r="F12" s="44" t="n"/>
      <c r="G12" s="44" t="n"/>
    </row>
    <row r="14" ht="22" customHeight="1">
      <c r="A14" s="45" t="inlineStr">
        <is>
          <t>Key</t>
        </is>
      </c>
      <c r="B14" s="46" t="inlineStr">
        <is>
          <t>Engaged</t>
        </is>
      </c>
      <c r="C14" s="47" t="inlineStr">
        <is>
          <t>Emerging / not direct</t>
        </is>
      </c>
      <c r="D14" s="48" t="inlineStr">
        <is>
          <t>Not yet mapped</t>
        </is>
      </c>
    </row>
    <row r="15" ht="25.5" customHeight="1"/>
    <row r="16" ht="22" customHeight="1">
      <c r="A16" s="49" t="inlineStr">
        <is>
          <t>KEY PERSONAS</t>
        </is>
      </c>
    </row>
    <row r="17" ht="22" customHeight="1">
      <c r="A17" s="32" t="inlineStr">
        <is>
          <t>Role</t>
        </is>
      </c>
      <c r="B17" s="32" t="inlineStr">
        <is>
          <t>Name</t>
        </is>
      </c>
      <c r="C17" s="32" t="inlineStr">
        <is>
          <t>Engagement</t>
        </is>
      </c>
      <c r="D17" s="32" t="inlineStr">
        <is>
          <t>Notes / Gap</t>
        </is>
      </c>
    </row>
    <row r="18" ht="30" customHeight="1">
      <c r="A18" s="50" t="inlineStr">
        <is>
          <t>Economic Buyer</t>
        </is>
      </c>
      <c r="B18" s="21" t="n"/>
      <c r="C18" s="34" t="n"/>
      <c r="D18" s="21" t="n"/>
      <c r="E18" s="12" t="n"/>
      <c r="F18" s="12" t="n"/>
      <c r="G18" s="12" t="n"/>
    </row>
    <row r="19" ht="30" customHeight="1">
      <c r="A19" s="50" t="inlineStr">
        <is>
          <t>Champion</t>
        </is>
      </c>
      <c r="B19" s="21" t="n"/>
      <c r="C19" s="34" t="n"/>
      <c r="D19" s="21" t="n"/>
      <c r="E19" s="12" t="n"/>
      <c r="F19" s="12" t="n"/>
      <c r="G19" s="12" t="n"/>
    </row>
    <row r="20" ht="30" customHeight="1">
      <c r="A20" s="50" t="inlineStr">
        <is>
          <t>Executive Sponsor</t>
        </is>
      </c>
      <c r="B20" s="21" t="n"/>
      <c r="C20" s="34" t="n"/>
      <c r="D20" s="21" t="n"/>
      <c r="E20" s="12" t="n"/>
      <c r="F20" s="12" t="n"/>
      <c r="G20" s="12" t="n"/>
    </row>
    <row r="21" ht="30" customHeight="1">
      <c r="A21" s="50" t="inlineStr">
        <is>
          <t>Influencer 1 - Security / Legal</t>
        </is>
      </c>
      <c r="B21" s="21" t="n"/>
      <c r="C21" s="34" t="n"/>
      <c r="D21" s="21" t="n"/>
      <c r="E21" s="12" t="n"/>
      <c r="F21" s="12" t="n"/>
      <c r="G21" s="12" t="n"/>
    </row>
    <row r="22" ht="30" customHeight="1">
      <c r="A22" s="50" t="inlineStr">
        <is>
          <t>Influencer 2 - Procurement</t>
        </is>
      </c>
      <c r="B22" s="21" t="n"/>
      <c r="C22" s="34" t="n"/>
      <c r="D22" s="21" t="n"/>
      <c r="E22" s="12" t="n"/>
      <c r="F22" s="12" t="n"/>
      <c r="G22" s="12" t="n"/>
    </row>
    <row r="23" ht="30" customHeight="1">
      <c r="A23" s="50" t="inlineStr">
        <is>
          <t>Influencer 3 - End Users / IT</t>
        </is>
      </c>
      <c r="B23" s="21" t="n"/>
      <c r="C23" s="34" t="n"/>
      <c r="D23" s="21" t="n"/>
      <c r="E23" s="12" t="n"/>
      <c r="F23" s="12" t="n"/>
      <c r="G23" s="12" t="n"/>
    </row>
    <row r="25" ht="24" customHeight="1">
      <c r="A25" s="51" t="inlineStr">
        <is>
          <t>Open question: Do we have a text relationship with any of these contacts?</t>
        </is>
      </c>
    </row>
  </sheetData>
  <mergeCells count="12">
    <mergeCell ref="D22:G22"/>
    <mergeCell ref="D23:G23"/>
    <mergeCell ref="D18:G18"/>
    <mergeCell ref="A1:G1"/>
    <mergeCell ref="D17:G17"/>
    <mergeCell ref="B5:G5"/>
    <mergeCell ref="A3:G3"/>
    <mergeCell ref="D20:G20"/>
    <mergeCell ref="D21:G21"/>
    <mergeCell ref="A15:G15"/>
    <mergeCell ref="D19:G19"/>
    <mergeCell ref="A25:G25"/>
  </mergeCells>
  <dataValidations count="1">
    <dataValidation sqref="C18 C19 C20 C21 C22 C23" showDropDown="0" showInputMessage="0" showErrorMessage="0" allowBlank="1" type="list">
      <formula1>"Engaged,Emerging,Not yet mapped"</formula1>
    </dataValidation>
  </dataValidation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2026-10-26T07:07:56Z</dcterms:created>
  <dcterms:modified xmlns:dcterms="http://purl.org/dc/terms/" xmlns:xsi="http://www.w3.org/2001/XMLSchema-instance" xsi:type="dcterms:W3CDTF">2026-10-26T07:07:56Z</dcterms:modified>
</cp:coreProperties>
</file>